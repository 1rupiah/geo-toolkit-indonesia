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ma\Downloads\"/>
    </mc:Choice>
  </mc:AlternateContent>
  <xr:revisionPtr revIDLastSave="0" documentId="13_ncr:1_{4B3BB0D8-8FA9-4395-AED5-E3129D7B9D63}" xr6:coauthVersionLast="47" xr6:coauthVersionMax="47" xr10:uidLastSave="{00000000-0000-0000-0000-000000000000}"/>
  <bookViews>
    <workbookView xWindow="3855" yWindow="3855" windowWidth="21600" windowHeight="12645" xr2:uid="{00000000-000D-0000-FFFF-FFFF00000000}"/>
  </bookViews>
  <sheets>
    <sheet name="Test Report" sheetId="1" r:id="rId1"/>
  </sheets>
  <definedNames>
    <definedName name="_xlnm.Print_Titles" localSheetId="0">'Test Report'!$1:$5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" i="1" l="1"/>
  <c r="F3" i="1"/>
  <c r="D3" i="1"/>
  <c r="B3" i="1"/>
</calcChain>
</file>

<file path=xl/sharedStrings.xml><?xml version="1.0" encoding="utf-8"?>
<sst xmlns="http://schemas.openxmlformats.org/spreadsheetml/2006/main" count="278" uniqueCount="178">
  <si>
    <t>Automated unit test suite · Python 3.12 · pytest 9.1.0 · WGS84 / Vincenty / LAS 2.0</t>
  </si>
  <si>
    <t>Total</t>
  </si>
  <si>
    <t>Passed</t>
  </si>
  <si>
    <t>Failed</t>
  </si>
  <si>
    <t>#</t>
  </si>
  <si>
    <t>ID</t>
  </si>
  <si>
    <t>Test Name</t>
  </si>
  <si>
    <t>What Is Verified</t>
  </si>
  <si>
    <t>Module</t>
  </si>
  <si>
    <t>Result</t>
  </si>
  <si>
    <t>TC-01</t>
  </si>
  <si>
    <t>test_latlon_to_utm_jakarta</t>
  </si>
  <si>
    <t>Jakarta lat/lon (−6.2°, 106.816°) converts to Zone 48S with easting 600k–800k and northing 9.2M–9.5M</t>
  </si>
  <si>
    <t>Module 1
Coordinate</t>
  </si>
  <si>
    <t>PASS</t>
  </si>
  <si>
    <t>TC-02</t>
  </si>
  <si>
    <t>test_utm_to_latlon_roundtrip</t>
  </si>
  <si>
    <t>Surabaya area: lat/lon → UTM → lat/lon round-trip recovers original coords within 1e-5°</t>
  </si>
  <si>
    <t>TC-03</t>
  </si>
  <si>
    <t>test_latlon_to_utm_northern_hemisphere</t>
  </si>
  <si>
    <t>Banda Aceh (5.55°N, 95.32°E) correctly assigned Zone 46N (Northern hemisphere)</t>
  </si>
  <si>
    <t>TC-04</t>
  </si>
  <si>
    <t>test_utm_to_latlon_basic</t>
  </si>
  <si>
    <t>Given easting/northing/zone/hemisphere, returned lat falls in −8° to −4° and lon in 100°–110°</t>
  </si>
  <si>
    <t>TC-05</t>
  </si>
  <si>
    <t>test_invalid_zone_raises</t>
  </si>
  <si>
    <t>Zone = 0 (out of range 1–60) raises ValueError</t>
  </si>
  <si>
    <t>TC-06</t>
  </si>
  <si>
    <t>test_invalid_hemisphere_raises</t>
  </si>
  <si>
    <t>Hemisphere = 'X' (not N/S) raises ValueError</t>
  </si>
  <si>
    <t>TC-07</t>
  </si>
  <si>
    <t>test_invalid_latitude_raises</t>
  </si>
  <si>
    <t>Latitude = 91.0 (out of −90 to 90) raises ValueError</t>
  </si>
  <si>
    <t>TC-08</t>
  </si>
  <si>
    <t>test_invalid_longitude_raises</t>
  </si>
  <si>
    <t>Longitude = 181.0 (out of −180 to 180) raises ValueError</t>
  </si>
  <si>
    <t>TC-09</t>
  </si>
  <si>
    <t>test_to_dict</t>
  </si>
  <si>
    <t>UTMCoordinate.to_dict() returns dict containing 'easting', 'northing', 'zone' keys</t>
  </si>
  <si>
    <t>TC-10</t>
  </si>
  <si>
    <t>test_distance_jakarta_surabaya</t>
  </si>
  <si>
    <t>Geodetic distance Jakarta→Surabaya falls in realistic range 650–720 km</t>
  </si>
  <si>
    <t>Module 2
Survey</t>
  </si>
  <si>
    <t>TC-11</t>
  </si>
  <si>
    <t>test_distance_zero</t>
  </si>
  <si>
    <t>Distance from a point to itself returns exactly 0.0 metres</t>
  </si>
  <si>
    <t>TC-12</t>
  </si>
  <si>
    <t>test_distance_units_consistent</t>
  </si>
  <si>
    <t>TC-13</t>
  </si>
  <si>
    <t>test_bearing_east</t>
  </si>
  <si>
    <t>Two points on same latitude → forward bearing ≈ 90° (due East) within ±1°</t>
  </si>
  <si>
    <t>TC-14</t>
  </si>
  <si>
    <t>test_bearing_north</t>
  </si>
  <si>
    <t>Two points on same longitude → forward bearing ≈ 0° (due North) within ±5°</t>
  </si>
  <si>
    <t>TC-15</t>
  </si>
  <si>
    <t>test_bearing_back_is_reciprocal</t>
  </si>
  <si>
    <t>Forward and back bearings differ by &lt; 2° (Vincenty ellipsoidal geometry, not exactly 180°)</t>
  </si>
  <si>
    <t>TC-16</t>
  </si>
  <si>
    <t>test_bearing_range</t>
  </si>
  <si>
    <t>Both forward and back bearing values are in [0°, 360°)</t>
  </si>
  <si>
    <t>TC-17</t>
  </si>
  <si>
    <t>test_invalid_lat_raises</t>
  </si>
  <si>
    <t>Latitude = 95.0 (invalid) raises ValueError</t>
  </si>
  <si>
    <t>TC-18</t>
  </si>
  <si>
    <t>test_bearing_to_dict</t>
  </si>
  <si>
    <t>BearingResult.to_dict() contains 'forward_bearing_deg' and 'back_bearing_deg'</t>
  </si>
  <si>
    <t>TC-19</t>
  </si>
  <si>
    <t>test_distance_to_dict</t>
  </si>
  <si>
    <t>DistanceResult.to_dict() contains 'metres' and 'kilometres'</t>
  </si>
  <si>
    <t>TC-20</t>
  </si>
  <si>
    <t>test_read_las_success</t>
  </si>
  <si>
    <t>WELL_A.LAS parses without error; well_name is non-empty; depth array has &gt; 0 samples</t>
  </si>
  <si>
    <t>Module 3
Geological</t>
  </si>
  <si>
    <t>TC-21</t>
  </si>
  <si>
    <t>test_read_las_curves_present</t>
  </si>
  <si>
    <t>Parsed LAS contains curves GR, RHOB, NPHI (standard petrophysical mnemonics)</t>
  </si>
  <si>
    <t>TC-22</t>
  </si>
  <si>
    <t>test_read_las_no_nan_in_valid_data</t>
  </si>
  <si>
    <t>GR curve has at least one non-NaN value (null sentinel −9999.25 correctly replaced)</t>
  </si>
  <si>
    <t>TC-23</t>
  </si>
  <si>
    <t>test_read_las_summary</t>
  </si>
  <si>
    <t>LASData.summary() returns a string containing 'Well' or 'WELL' header info</t>
  </si>
  <si>
    <t>TC-24</t>
  </si>
  <si>
    <t>test_read_las_file_not_found</t>
  </si>
  <si>
    <t>Non-existent .las path raises FileNotFoundError</t>
  </si>
  <si>
    <t>TC-25</t>
  </si>
  <si>
    <t>test_read_las_to_dict</t>
  </si>
  <si>
    <t>LASData.to_dict() returns dict with 'curves' and 'well_name' keys</t>
  </si>
  <si>
    <t>TC-26</t>
  </si>
  <si>
    <t>test_read_well_log_success</t>
  </si>
  <si>
    <t>well_log_B.csv parses with depth_col='DEPTH'; depth array non-empty; GR curve present</t>
  </si>
  <si>
    <t>TC-27</t>
  </si>
  <si>
    <t>test_read_well_log_all_columns</t>
  </si>
  <si>
    <t>CSV load includes RHOB and NPHI curves when no value_cols filter is applied</t>
  </si>
  <si>
    <t>TC-28</t>
  </si>
  <si>
    <t>test_read_well_log_selected_columns</t>
  </si>
  <si>
    <t>value_cols=['GR','RT'] loads only those two curves; RHOB is excluded</t>
  </si>
  <si>
    <t>TC-29</t>
  </si>
  <si>
    <t>test_read_well_log_file_not_found</t>
  </si>
  <si>
    <t>Non-existent CSV path raises FileNotFoundError</t>
  </si>
  <si>
    <t>TC-30</t>
  </si>
  <si>
    <t>test_read_well_log_bad_depth_col</t>
  </si>
  <si>
    <t>depth_col='NONEXISTENT_COL' raises KeyError with available columns listed</t>
  </si>
  <si>
    <t>TC-31</t>
  </si>
  <si>
    <t>test_read_well_log_summary</t>
  </si>
  <si>
    <t>WellLogData.summary() returns string containing 'File' header</t>
  </si>
  <si>
    <t>TC-32</t>
  </si>
  <si>
    <t>test_read_well_log_to_dict</t>
  </si>
  <si>
    <t>WellLogData.to_dict() returns dict with 'depth' and 'curves' keys</t>
  </si>
  <si>
    <t>TC-33</t>
  </si>
  <si>
    <t>test_to_geojson_single_point</t>
  </si>
  <si>
    <t>Single GeoFeature(Point) produces FeatureCollection with 1 feature of type 'Point'</t>
  </si>
  <si>
    <t>Module 4
GIS Export</t>
  </si>
  <si>
    <t>TC-34</t>
  </si>
  <si>
    <t>test_to_geojson_multiple_features</t>
  </si>
  <si>
    <t>List of 2 Point features produces FeatureCollection with exactly 2 features</t>
  </si>
  <si>
    <t>TC-35</t>
  </si>
  <si>
    <t>test_to_geojson_linestring</t>
  </si>
  <si>
    <t>linestring_feature() produces valid GeoJSON geometry type 'LineString'</t>
  </si>
  <si>
    <t>TC-36</t>
  </si>
  <si>
    <t>test_to_geojson_polygon</t>
  </si>
  <si>
    <t>polygon_feature() produces valid GeoJSON geometry type 'Polygon'</t>
  </si>
  <si>
    <t>TC-37</t>
  </si>
  <si>
    <t>test_to_geojson_write_file</t>
  </si>
  <si>
    <t>to_geojson(output_path=...) writes a valid parseable .geojson file to disk</t>
  </si>
  <si>
    <t>TC-38</t>
  </si>
  <si>
    <t>test_to_kml_returns_string</t>
  </si>
  <si>
    <t>to_kml() returns a string containing '&lt;kml' and the feature name</t>
  </si>
  <si>
    <t>TC-39</t>
  </si>
  <si>
    <t>test_to_kml_write_file</t>
  </si>
  <si>
    <t>to_kml(output_path=...) writes a .kml file to disk</t>
  </si>
  <si>
    <t>TC-40</t>
  </si>
  <si>
    <t>test_invalid_geometry_type_raises</t>
  </si>
  <si>
    <t>GeoFeature with geometry_type='Circle' (unsupported) raises ValueError</t>
  </si>
  <si>
    <t>TC-41</t>
  </si>
  <si>
    <t>test_point_feature_with_elevation</t>
  </si>
  <si>
    <t>point_feature(elevation=50.0) stores 3-element coordinate [lon, lat, elev]</t>
  </si>
  <si>
    <t>TC-42</t>
  </si>
  <si>
    <t>test_polygon_autoclosed</t>
  </si>
  <si>
    <t>polygon_feature() auto-closes ring so first and last coordinate are identical</t>
  </si>
  <si>
    <t>TC-43</t>
  </si>
  <si>
    <t>test_plot_survey_line_returns_figure</t>
  </si>
  <si>
    <t>plot_survey_line(3 points) returns a non-None matplotlib Figure object</t>
  </si>
  <si>
    <t>Module 5
Visualization</t>
  </si>
  <si>
    <t>TC-44</t>
  </si>
  <si>
    <t>test_plot_survey_line_saves_file</t>
  </si>
  <si>
    <t>output_path PNG is created on disk and file size &gt; 10 KB</t>
  </si>
  <si>
    <t>TC-45</t>
  </si>
  <si>
    <t>test_plot_survey_line_with_labels</t>
  </si>
  <si>
    <t>Custom point_labels list accepted without error; Figure returned</t>
  </si>
  <si>
    <t>TC-46</t>
  </si>
  <si>
    <t>test_plot_survey_line_too_few_points</t>
  </si>
  <si>
    <t>Single-point input raises ValueError (minimum 2 points required)</t>
  </si>
  <si>
    <t>TC-47</t>
  </si>
  <si>
    <t>test_plot_borehole_returns_figure</t>
  </si>
  <si>
    <t>plot_borehole(depth, 3 curves) returns a non-None matplotlib Figure object</t>
  </si>
  <si>
    <t>TC-48</t>
  </si>
  <si>
    <t>test_plot_borehole_saves_file</t>
  </si>
  <si>
    <t>TC-49</t>
  </si>
  <si>
    <t>test_plot_borehole_no_curves_raises</t>
  </si>
  <si>
    <t>Empty curves dict raises ValueError</t>
  </si>
  <si>
    <t>TC-50</t>
  </si>
  <si>
    <t>test_plot_borehole_with_units</t>
  </si>
  <si>
    <t>units dict (gAPI, g/cc, v/v) accepted; Figure returned without error</t>
  </si>
  <si>
    <t>TC-51</t>
  </si>
  <si>
    <t>test_las_to_geojson_pipeline</t>
  </si>
  <si>
    <t>Read LAS → extract well_name → create point_feature → export GeoJSON; well_name preserved in properties</t>
  </si>
  <si>
    <t>Integration
Tests</t>
  </si>
  <si>
    <t>TC-52</t>
  </si>
  <si>
    <t>test_coordinate_then_export</t>
  </si>
  <si>
    <t>latlon_to_utm → utm_to_latlon → point_feature → to_geojson produces 1-feature collection</t>
  </si>
  <si>
    <t>TC-53</t>
  </si>
  <si>
    <t>test_survey_line_full_pipeline</t>
  </si>
  <si>
    <t>4-station line: bearings all in [0°,360°), distances all &gt; 0 km, GeoJSON LineString exported, PNG saved</t>
  </si>
  <si>
    <t>pytest 9.1.0</t>
  </si>
  <si>
    <t>53 / 53</t>
  </si>
  <si>
    <t>GeoToolkit Indonesia - Test Report</t>
  </si>
  <si>
    <t>metres/1000 = km, metres/1852 = nm, metres/1609.344 = mi - all within 0.001 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</si>
</sst>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i/>
      <sz val="9"/>
      <color rgb="FF607D8B"/>
      <name val="Calibri"/>
      <family val="2"/>
      <scheme val="minor"/>
    </font>
    <font>
      <b/>
      <sz val="9"/>
      <color rgb="FF455A64"/>
      <name val="Calibri"/>
      <family val="2"/>
      <scheme val="minor"/>
    </font>
    <font>
      <b/>
      <sz val="13"/>
      <color rgb="FF0A2F5A"/>
      <name val="Calibri"/>
      <family val="2"/>
      <scheme val="minor"/>
    </font>
    <font>
      <b/>
      <sz val="16"/>
      <color rgb="FF1B5E20"/>
      <name val="Calibri"/>
      <family val="2"/>
      <scheme val="minor"/>
    </font>
    <font>
      <b/>
      <sz val="16"/>
      <color rgb="FF880E4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rgb="FF78909C"/>
      <name val="Calibri"/>
      <family val="2"/>
      <scheme val="minor"/>
    </font>
    <font>
      <b/>
      <sz val="8"/>
      <color rgb="FF1565C0"/>
      <name val="Calibri"/>
      <family val="2"/>
      <scheme val="minor"/>
    </font>
    <font>
      <sz val="8.5"/>
      <color rgb="FF1A1A2E"/>
      <name val="Calibri"/>
      <family val="2"/>
      <scheme val="minor"/>
    </font>
    <font>
      <i/>
      <sz val="8"/>
      <color rgb="FF37474F"/>
      <name val="Calibri"/>
      <family val="2"/>
      <scheme val="minor"/>
    </font>
    <font>
      <b/>
      <sz val="7.5"/>
      <color rgb="FF1565C0"/>
      <name val="Calibri"/>
      <family val="2"/>
      <scheme val="minor"/>
    </font>
    <font>
      <b/>
      <sz val="9"/>
      <color rgb="FF1B5E20"/>
      <name val="Calibri"/>
      <family val="2"/>
      <scheme val="minor"/>
    </font>
    <font>
      <b/>
      <sz val="8"/>
      <color rgb="FF2E7D32"/>
      <name val="Calibri"/>
      <family val="2"/>
      <scheme val="minor"/>
    </font>
    <font>
      <b/>
      <sz val="7.5"/>
      <color rgb="FF2E7D32"/>
      <name val="Calibri"/>
      <family val="2"/>
      <scheme val="minor"/>
    </font>
    <font>
      <b/>
      <sz val="8"/>
      <color rgb="FFE65100"/>
      <name val="Calibri"/>
      <family val="2"/>
      <scheme val="minor"/>
    </font>
    <font>
      <b/>
      <sz val="7.5"/>
      <color rgb="FFE65100"/>
      <name val="Calibri"/>
      <family val="2"/>
      <scheme val="minor"/>
    </font>
    <font>
      <b/>
      <sz val="8"/>
      <color rgb="FF6A1B9A"/>
      <name val="Calibri"/>
      <family val="2"/>
      <scheme val="minor"/>
    </font>
    <font>
      <b/>
      <sz val="7.5"/>
      <color rgb="FF6A1B9A"/>
      <name val="Calibri"/>
      <family val="2"/>
      <scheme val="minor"/>
    </font>
    <font>
      <b/>
      <sz val="8"/>
      <color rgb="FF00695C"/>
      <name val="Calibri"/>
      <family val="2"/>
      <scheme val="minor"/>
    </font>
    <font>
      <b/>
      <sz val="7.5"/>
      <color rgb="FF00695C"/>
      <name val="Calibri"/>
      <family val="2"/>
      <scheme val="minor"/>
    </font>
    <font>
      <b/>
      <sz val="8"/>
      <color rgb="FF880E4F"/>
      <name val="Calibri"/>
      <family val="2"/>
      <scheme val="minor"/>
    </font>
    <font>
      <b/>
      <sz val="7.5"/>
      <color rgb="FF880E4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1B5E2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A2F5A"/>
      </patternFill>
    </fill>
    <fill>
      <patternFill patternType="solid">
        <fgColor rgb="FFEEF2F7"/>
      </patternFill>
    </fill>
    <fill>
      <patternFill patternType="solid">
        <fgColor rgb="FFE8EDF5"/>
      </patternFill>
    </fill>
    <fill>
      <patternFill patternType="solid">
        <fgColor rgb="FFF5F7FA"/>
      </patternFill>
    </fill>
    <fill>
      <patternFill patternType="solid">
        <fgColor rgb="FF1565C0"/>
      </patternFill>
    </fill>
    <fill>
      <patternFill patternType="solid">
        <fgColor rgb="FFDCEEFB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C8E6C9"/>
      </patternFill>
    </fill>
  </fills>
  <borders count="5">
    <border>
      <left/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0A2F5A"/>
      </left>
      <right style="thin">
        <color rgb="FF0A2F5A"/>
      </right>
      <top style="thin">
        <color rgb="FF0A2F5A"/>
      </top>
      <bottom style="thin">
        <color rgb="FF0A2F5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applyFo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/>
    </xf>
    <xf numFmtId="0" fontId="23" fillId="13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5" fillId="1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tabSelected="1" workbookViewId="0">
      <pane ySplit="5" topLeftCell="A6" activePane="bottomLeft" state="frozen"/>
      <selection pane="bottomLeft" activeCell="A59" sqref="A59:D59"/>
    </sheetView>
  </sheetViews>
  <sheetFormatPr defaultRowHeight="15" x14ac:dyDescent="0.25"/>
  <cols>
    <col min="1" max="1" width="5" style="3" customWidth="1"/>
    <col min="2" max="2" width="6" style="3" customWidth="1"/>
    <col min="3" max="3" width="30.28515625" style="3" bestFit="1" customWidth="1"/>
    <col min="4" max="4" width="34" style="3" customWidth="1"/>
    <col min="5" max="6" width="13" style="3" customWidth="1"/>
    <col min="7" max="16384" width="9.140625" style="3"/>
  </cols>
  <sheetData>
    <row r="1" spans="1:6" ht="44.1" customHeight="1" x14ac:dyDescent="0.25">
      <c r="A1" s="1" t="s">
        <v>176</v>
      </c>
      <c r="B1" s="2"/>
      <c r="C1" s="2"/>
      <c r="D1" s="2"/>
      <c r="E1" s="2"/>
      <c r="F1" s="2"/>
    </row>
    <row r="2" spans="1:6" ht="21.95" customHeight="1" x14ac:dyDescent="0.25">
      <c r="A2" s="4" t="s">
        <v>0</v>
      </c>
      <c r="B2" s="2"/>
      <c r="C2" s="2"/>
      <c r="D2" s="2"/>
      <c r="E2" s="2"/>
      <c r="F2" s="2"/>
    </row>
    <row r="3" spans="1:6" ht="27.95" customHeight="1" x14ac:dyDescent="0.25">
      <c r="A3" s="5" t="s">
        <v>1</v>
      </c>
      <c r="B3" s="6">
        <f>COUNTA(B6:B58)</f>
        <v>53</v>
      </c>
      <c r="C3" s="5" t="s">
        <v>2</v>
      </c>
      <c r="D3" s="7">
        <f>COUNTIF(F6:F59, "PASS")</f>
        <v>53</v>
      </c>
      <c r="E3" s="5" t="s">
        <v>3</v>
      </c>
      <c r="F3" s="8">
        <f>COUNTIF(F6:F59, "FAILED")</f>
        <v>0</v>
      </c>
    </row>
    <row r="4" spans="1:6" ht="8.1" customHeight="1" x14ac:dyDescent="0.25"/>
    <row r="5" spans="1:6" ht="24" customHeight="1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</row>
    <row r="6" spans="1:6" ht="30" customHeight="1" x14ac:dyDescent="0.25">
      <c r="A6" s="10">
        <v>1</v>
      </c>
      <c r="B6" s="11" t="s">
        <v>10</v>
      </c>
      <c r="C6" s="12" t="s">
        <v>11</v>
      </c>
      <c r="D6" s="13" t="s">
        <v>12</v>
      </c>
      <c r="E6" s="14" t="s">
        <v>13</v>
      </c>
      <c r="F6" s="15" t="s">
        <v>14</v>
      </c>
    </row>
    <row r="7" spans="1:6" ht="30" customHeight="1" x14ac:dyDescent="0.25">
      <c r="A7" s="16">
        <v>2</v>
      </c>
      <c r="B7" s="11" t="s">
        <v>15</v>
      </c>
      <c r="C7" s="17" t="s">
        <v>16</v>
      </c>
      <c r="D7" s="18" t="s">
        <v>17</v>
      </c>
      <c r="E7" s="14" t="s">
        <v>13</v>
      </c>
      <c r="F7" s="15" t="s">
        <v>14</v>
      </c>
    </row>
    <row r="8" spans="1:6" ht="30" customHeight="1" x14ac:dyDescent="0.25">
      <c r="A8" s="10">
        <v>3</v>
      </c>
      <c r="B8" s="11" t="s">
        <v>18</v>
      </c>
      <c r="C8" s="12" t="s">
        <v>19</v>
      </c>
      <c r="D8" s="13" t="s">
        <v>20</v>
      </c>
      <c r="E8" s="14" t="s">
        <v>13</v>
      </c>
      <c r="F8" s="15" t="s">
        <v>14</v>
      </c>
    </row>
    <row r="9" spans="1:6" ht="30" customHeight="1" x14ac:dyDescent="0.25">
      <c r="A9" s="16">
        <v>4</v>
      </c>
      <c r="B9" s="11" t="s">
        <v>21</v>
      </c>
      <c r="C9" s="17" t="s">
        <v>22</v>
      </c>
      <c r="D9" s="18" t="s">
        <v>23</v>
      </c>
      <c r="E9" s="14" t="s">
        <v>13</v>
      </c>
      <c r="F9" s="15" t="s">
        <v>14</v>
      </c>
    </row>
    <row r="10" spans="1:6" ht="30" customHeight="1" x14ac:dyDescent="0.25">
      <c r="A10" s="10">
        <v>5</v>
      </c>
      <c r="B10" s="11" t="s">
        <v>24</v>
      </c>
      <c r="C10" s="12" t="s">
        <v>25</v>
      </c>
      <c r="D10" s="13" t="s">
        <v>26</v>
      </c>
      <c r="E10" s="14" t="s">
        <v>13</v>
      </c>
      <c r="F10" s="15" t="s">
        <v>14</v>
      </c>
    </row>
    <row r="11" spans="1:6" ht="30" customHeight="1" x14ac:dyDescent="0.25">
      <c r="A11" s="16">
        <v>6</v>
      </c>
      <c r="B11" s="11" t="s">
        <v>27</v>
      </c>
      <c r="C11" s="17" t="s">
        <v>28</v>
      </c>
      <c r="D11" s="18" t="s">
        <v>29</v>
      </c>
      <c r="E11" s="14" t="s">
        <v>13</v>
      </c>
      <c r="F11" s="15" t="s">
        <v>14</v>
      </c>
    </row>
    <row r="12" spans="1:6" ht="30" customHeight="1" x14ac:dyDescent="0.25">
      <c r="A12" s="10">
        <v>7</v>
      </c>
      <c r="B12" s="11" t="s">
        <v>30</v>
      </c>
      <c r="C12" s="12" t="s">
        <v>31</v>
      </c>
      <c r="D12" s="13" t="s">
        <v>32</v>
      </c>
      <c r="E12" s="14" t="s">
        <v>13</v>
      </c>
      <c r="F12" s="15" t="s">
        <v>14</v>
      </c>
    </row>
    <row r="13" spans="1:6" ht="30" customHeight="1" x14ac:dyDescent="0.25">
      <c r="A13" s="16">
        <v>8</v>
      </c>
      <c r="B13" s="11" t="s">
        <v>33</v>
      </c>
      <c r="C13" s="17" t="s">
        <v>34</v>
      </c>
      <c r="D13" s="18" t="s">
        <v>35</v>
      </c>
      <c r="E13" s="14" t="s">
        <v>13</v>
      </c>
      <c r="F13" s="15" t="s">
        <v>14</v>
      </c>
    </row>
    <row r="14" spans="1:6" ht="30" customHeight="1" x14ac:dyDescent="0.25">
      <c r="A14" s="10">
        <v>9</v>
      </c>
      <c r="B14" s="11" t="s">
        <v>36</v>
      </c>
      <c r="C14" s="12" t="s">
        <v>37</v>
      </c>
      <c r="D14" s="13" t="s">
        <v>38</v>
      </c>
      <c r="E14" s="14" t="s">
        <v>13</v>
      </c>
      <c r="F14" s="15" t="s">
        <v>14</v>
      </c>
    </row>
    <row r="15" spans="1:6" ht="30" customHeight="1" x14ac:dyDescent="0.25">
      <c r="A15" s="16">
        <v>10</v>
      </c>
      <c r="B15" s="19" t="s">
        <v>39</v>
      </c>
      <c r="C15" s="17" t="s">
        <v>40</v>
      </c>
      <c r="D15" s="18" t="s">
        <v>41</v>
      </c>
      <c r="E15" s="20" t="s">
        <v>42</v>
      </c>
      <c r="F15" s="15" t="s">
        <v>14</v>
      </c>
    </row>
    <row r="16" spans="1:6" ht="30" customHeight="1" x14ac:dyDescent="0.25">
      <c r="A16" s="10">
        <v>11</v>
      </c>
      <c r="B16" s="19" t="s">
        <v>43</v>
      </c>
      <c r="C16" s="12" t="s">
        <v>44</v>
      </c>
      <c r="D16" s="13" t="s">
        <v>45</v>
      </c>
      <c r="E16" s="20" t="s">
        <v>42</v>
      </c>
      <c r="F16" s="15" t="s">
        <v>14</v>
      </c>
    </row>
    <row r="17" spans="1:6" ht="30" customHeight="1" x14ac:dyDescent="0.25">
      <c r="A17" s="16">
        <v>12</v>
      </c>
      <c r="B17" s="19" t="s">
        <v>46</v>
      </c>
      <c r="C17" s="17" t="s">
        <v>47</v>
      </c>
      <c r="D17" s="18" t="s">
        <v>177</v>
      </c>
      <c r="E17" s="20" t="s">
        <v>42</v>
      </c>
      <c r="F17" s="15" t="s">
        <v>14</v>
      </c>
    </row>
    <row r="18" spans="1:6" ht="30" customHeight="1" x14ac:dyDescent="0.25">
      <c r="A18" s="10">
        <v>13</v>
      </c>
      <c r="B18" s="19" t="s">
        <v>48</v>
      </c>
      <c r="C18" s="12" t="s">
        <v>49</v>
      </c>
      <c r="D18" s="13" t="s">
        <v>50</v>
      </c>
      <c r="E18" s="20" t="s">
        <v>42</v>
      </c>
      <c r="F18" s="15" t="s">
        <v>14</v>
      </c>
    </row>
    <row r="19" spans="1:6" ht="30" customHeight="1" x14ac:dyDescent="0.25">
      <c r="A19" s="16">
        <v>14</v>
      </c>
      <c r="B19" s="19" t="s">
        <v>51</v>
      </c>
      <c r="C19" s="17" t="s">
        <v>52</v>
      </c>
      <c r="D19" s="18" t="s">
        <v>53</v>
      </c>
      <c r="E19" s="20" t="s">
        <v>42</v>
      </c>
      <c r="F19" s="15" t="s">
        <v>14</v>
      </c>
    </row>
    <row r="20" spans="1:6" ht="30" customHeight="1" x14ac:dyDescent="0.25">
      <c r="A20" s="10">
        <v>15</v>
      </c>
      <c r="B20" s="19" t="s">
        <v>54</v>
      </c>
      <c r="C20" s="12" t="s">
        <v>55</v>
      </c>
      <c r="D20" s="13" t="s">
        <v>56</v>
      </c>
      <c r="E20" s="20" t="s">
        <v>42</v>
      </c>
      <c r="F20" s="15" t="s">
        <v>14</v>
      </c>
    </row>
    <row r="21" spans="1:6" ht="30" customHeight="1" x14ac:dyDescent="0.25">
      <c r="A21" s="16">
        <v>16</v>
      </c>
      <c r="B21" s="19" t="s">
        <v>57</v>
      </c>
      <c r="C21" s="17" t="s">
        <v>58</v>
      </c>
      <c r="D21" s="18" t="s">
        <v>59</v>
      </c>
      <c r="E21" s="20" t="s">
        <v>42</v>
      </c>
      <c r="F21" s="15" t="s">
        <v>14</v>
      </c>
    </row>
    <row r="22" spans="1:6" ht="30" customHeight="1" x14ac:dyDescent="0.25">
      <c r="A22" s="10">
        <v>17</v>
      </c>
      <c r="B22" s="19" t="s">
        <v>60</v>
      </c>
      <c r="C22" s="12" t="s">
        <v>61</v>
      </c>
      <c r="D22" s="13" t="s">
        <v>62</v>
      </c>
      <c r="E22" s="20" t="s">
        <v>42</v>
      </c>
      <c r="F22" s="15" t="s">
        <v>14</v>
      </c>
    </row>
    <row r="23" spans="1:6" ht="30" customHeight="1" x14ac:dyDescent="0.25">
      <c r="A23" s="16">
        <v>18</v>
      </c>
      <c r="B23" s="19" t="s">
        <v>63</v>
      </c>
      <c r="C23" s="17" t="s">
        <v>64</v>
      </c>
      <c r="D23" s="18" t="s">
        <v>65</v>
      </c>
      <c r="E23" s="20" t="s">
        <v>42</v>
      </c>
      <c r="F23" s="15" t="s">
        <v>14</v>
      </c>
    </row>
    <row r="24" spans="1:6" ht="30" customHeight="1" x14ac:dyDescent="0.25">
      <c r="A24" s="10">
        <v>19</v>
      </c>
      <c r="B24" s="19" t="s">
        <v>66</v>
      </c>
      <c r="C24" s="12" t="s">
        <v>67</v>
      </c>
      <c r="D24" s="13" t="s">
        <v>68</v>
      </c>
      <c r="E24" s="20" t="s">
        <v>42</v>
      </c>
      <c r="F24" s="15" t="s">
        <v>14</v>
      </c>
    </row>
    <row r="25" spans="1:6" ht="30" customHeight="1" x14ac:dyDescent="0.25">
      <c r="A25" s="16">
        <v>20</v>
      </c>
      <c r="B25" s="21" t="s">
        <v>69</v>
      </c>
      <c r="C25" s="17" t="s">
        <v>70</v>
      </c>
      <c r="D25" s="18" t="s">
        <v>71</v>
      </c>
      <c r="E25" s="22" t="s">
        <v>72</v>
      </c>
      <c r="F25" s="15" t="s">
        <v>14</v>
      </c>
    </row>
    <row r="26" spans="1:6" ht="30" customHeight="1" x14ac:dyDescent="0.25">
      <c r="A26" s="10">
        <v>21</v>
      </c>
      <c r="B26" s="21" t="s">
        <v>73</v>
      </c>
      <c r="C26" s="12" t="s">
        <v>74</v>
      </c>
      <c r="D26" s="13" t="s">
        <v>75</v>
      </c>
      <c r="E26" s="22" t="s">
        <v>72</v>
      </c>
      <c r="F26" s="15" t="s">
        <v>14</v>
      </c>
    </row>
    <row r="27" spans="1:6" ht="30" customHeight="1" x14ac:dyDescent="0.25">
      <c r="A27" s="16">
        <v>22</v>
      </c>
      <c r="B27" s="21" t="s">
        <v>76</v>
      </c>
      <c r="C27" s="17" t="s">
        <v>77</v>
      </c>
      <c r="D27" s="18" t="s">
        <v>78</v>
      </c>
      <c r="E27" s="22" t="s">
        <v>72</v>
      </c>
      <c r="F27" s="15" t="s">
        <v>14</v>
      </c>
    </row>
    <row r="28" spans="1:6" ht="30" customHeight="1" x14ac:dyDescent="0.25">
      <c r="A28" s="10">
        <v>23</v>
      </c>
      <c r="B28" s="21" t="s">
        <v>79</v>
      </c>
      <c r="C28" s="12" t="s">
        <v>80</v>
      </c>
      <c r="D28" s="13" t="s">
        <v>81</v>
      </c>
      <c r="E28" s="22" t="s">
        <v>72</v>
      </c>
      <c r="F28" s="15" t="s">
        <v>14</v>
      </c>
    </row>
    <row r="29" spans="1:6" ht="30" customHeight="1" x14ac:dyDescent="0.25">
      <c r="A29" s="16">
        <v>24</v>
      </c>
      <c r="B29" s="21" t="s">
        <v>82</v>
      </c>
      <c r="C29" s="17" t="s">
        <v>83</v>
      </c>
      <c r="D29" s="18" t="s">
        <v>84</v>
      </c>
      <c r="E29" s="22" t="s">
        <v>72</v>
      </c>
      <c r="F29" s="15" t="s">
        <v>14</v>
      </c>
    </row>
    <row r="30" spans="1:6" ht="30" customHeight="1" x14ac:dyDescent="0.25">
      <c r="A30" s="10">
        <v>25</v>
      </c>
      <c r="B30" s="21" t="s">
        <v>85</v>
      </c>
      <c r="C30" s="12" t="s">
        <v>86</v>
      </c>
      <c r="D30" s="13" t="s">
        <v>87</v>
      </c>
      <c r="E30" s="22" t="s">
        <v>72</v>
      </c>
      <c r="F30" s="15" t="s">
        <v>14</v>
      </c>
    </row>
    <row r="31" spans="1:6" ht="30" customHeight="1" x14ac:dyDescent="0.25">
      <c r="A31" s="16">
        <v>26</v>
      </c>
      <c r="B31" s="21" t="s">
        <v>88</v>
      </c>
      <c r="C31" s="17" t="s">
        <v>89</v>
      </c>
      <c r="D31" s="18" t="s">
        <v>90</v>
      </c>
      <c r="E31" s="22" t="s">
        <v>72</v>
      </c>
      <c r="F31" s="15" t="s">
        <v>14</v>
      </c>
    </row>
    <row r="32" spans="1:6" ht="30" customHeight="1" x14ac:dyDescent="0.25">
      <c r="A32" s="10">
        <v>27</v>
      </c>
      <c r="B32" s="21" t="s">
        <v>91</v>
      </c>
      <c r="C32" s="12" t="s">
        <v>92</v>
      </c>
      <c r="D32" s="13" t="s">
        <v>93</v>
      </c>
      <c r="E32" s="22" t="s">
        <v>72</v>
      </c>
      <c r="F32" s="15" t="s">
        <v>14</v>
      </c>
    </row>
    <row r="33" spans="1:6" ht="30" customHeight="1" x14ac:dyDescent="0.25">
      <c r="A33" s="16">
        <v>28</v>
      </c>
      <c r="B33" s="21" t="s">
        <v>94</v>
      </c>
      <c r="C33" s="17" t="s">
        <v>95</v>
      </c>
      <c r="D33" s="18" t="s">
        <v>96</v>
      </c>
      <c r="E33" s="22" t="s">
        <v>72</v>
      </c>
      <c r="F33" s="15" t="s">
        <v>14</v>
      </c>
    </row>
    <row r="34" spans="1:6" ht="30" customHeight="1" x14ac:dyDescent="0.25">
      <c r="A34" s="10">
        <v>29</v>
      </c>
      <c r="B34" s="21" t="s">
        <v>97</v>
      </c>
      <c r="C34" s="12" t="s">
        <v>98</v>
      </c>
      <c r="D34" s="13" t="s">
        <v>99</v>
      </c>
      <c r="E34" s="22" t="s">
        <v>72</v>
      </c>
      <c r="F34" s="15" t="s">
        <v>14</v>
      </c>
    </row>
    <row r="35" spans="1:6" ht="30" customHeight="1" x14ac:dyDescent="0.25">
      <c r="A35" s="16">
        <v>30</v>
      </c>
      <c r="B35" s="21" t="s">
        <v>100</v>
      </c>
      <c r="C35" s="17" t="s">
        <v>101</v>
      </c>
      <c r="D35" s="18" t="s">
        <v>102</v>
      </c>
      <c r="E35" s="22" t="s">
        <v>72</v>
      </c>
      <c r="F35" s="15" t="s">
        <v>14</v>
      </c>
    </row>
    <row r="36" spans="1:6" ht="30" customHeight="1" x14ac:dyDescent="0.25">
      <c r="A36" s="10">
        <v>31</v>
      </c>
      <c r="B36" s="21" t="s">
        <v>103</v>
      </c>
      <c r="C36" s="12" t="s">
        <v>104</v>
      </c>
      <c r="D36" s="13" t="s">
        <v>105</v>
      </c>
      <c r="E36" s="22" t="s">
        <v>72</v>
      </c>
      <c r="F36" s="15" t="s">
        <v>14</v>
      </c>
    </row>
    <row r="37" spans="1:6" ht="30" customHeight="1" x14ac:dyDescent="0.25">
      <c r="A37" s="16">
        <v>32</v>
      </c>
      <c r="B37" s="21" t="s">
        <v>106</v>
      </c>
      <c r="C37" s="17" t="s">
        <v>107</v>
      </c>
      <c r="D37" s="18" t="s">
        <v>108</v>
      </c>
      <c r="E37" s="22" t="s">
        <v>72</v>
      </c>
      <c r="F37" s="15" t="s">
        <v>14</v>
      </c>
    </row>
    <row r="38" spans="1:6" ht="30" customHeight="1" x14ac:dyDescent="0.25">
      <c r="A38" s="10">
        <v>33</v>
      </c>
      <c r="B38" s="23" t="s">
        <v>109</v>
      </c>
      <c r="C38" s="12" t="s">
        <v>110</v>
      </c>
      <c r="D38" s="13" t="s">
        <v>111</v>
      </c>
      <c r="E38" s="24" t="s">
        <v>112</v>
      </c>
      <c r="F38" s="15" t="s">
        <v>14</v>
      </c>
    </row>
    <row r="39" spans="1:6" ht="30" customHeight="1" x14ac:dyDescent="0.25">
      <c r="A39" s="16">
        <v>34</v>
      </c>
      <c r="B39" s="23" t="s">
        <v>113</v>
      </c>
      <c r="C39" s="17" t="s">
        <v>114</v>
      </c>
      <c r="D39" s="18" t="s">
        <v>115</v>
      </c>
      <c r="E39" s="24" t="s">
        <v>112</v>
      </c>
      <c r="F39" s="15" t="s">
        <v>14</v>
      </c>
    </row>
    <row r="40" spans="1:6" ht="30" customHeight="1" x14ac:dyDescent="0.25">
      <c r="A40" s="10">
        <v>35</v>
      </c>
      <c r="B40" s="23" t="s">
        <v>116</v>
      </c>
      <c r="C40" s="12" t="s">
        <v>117</v>
      </c>
      <c r="D40" s="13" t="s">
        <v>118</v>
      </c>
      <c r="E40" s="24" t="s">
        <v>112</v>
      </c>
      <c r="F40" s="15" t="s">
        <v>14</v>
      </c>
    </row>
    <row r="41" spans="1:6" ht="30" customHeight="1" x14ac:dyDescent="0.25">
      <c r="A41" s="16">
        <v>36</v>
      </c>
      <c r="B41" s="23" t="s">
        <v>119</v>
      </c>
      <c r="C41" s="17" t="s">
        <v>120</v>
      </c>
      <c r="D41" s="18" t="s">
        <v>121</v>
      </c>
      <c r="E41" s="24" t="s">
        <v>112</v>
      </c>
      <c r="F41" s="15" t="s">
        <v>14</v>
      </c>
    </row>
    <row r="42" spans="1:6" ht="30" customHeight="1" x14ac:dyDescent="0.25">
      <c r="A42" s="10">
        <v>37</v>
      </c>
      <c r="B42" s="23" t="s">
        <v>122</v>
      </c>
      <c r="C42" s="12" t="s">
        <v>123</v>
      </c>
      <c r="D42" s="13" t="s">
        <v>124</v>
      </c>
      <c r="E42" s="24" t="s">
        <v>112</v>
      </c>
      <c r="F42" s="15" t="s">
        <v>14</v>
      </c>
    </row>
    <row r="43" spans="1:6" ht="30" customHeight="1" x14ac:dyDescent="0.25">
      <c r="A43" s="16">
        <v>38</v>
      </c>
      <c r="B43" s="23" t="s">
        <v>125</v>
      </c>
      <c r="C43" s="17" t="s">
        <v>126</v>
      </c>
      <c r="D43" s="18" t="s">
        <v>127</v>
      </c>
      <c r="E43" s="24" t="s">
        <v>112</v>
      </c>
      <c r="F43" s="15" t="s">
        <v>14</v>
      </c>
    </row>
    <row r="44" spans="1:6" ht="30" customHeight="1" x14ac:dyDescent="0.25">
      <c r="A44" s="10">
        <v>39</v>
      </c>
      <c r="B44" s="23" t="s">
        <v>128</v>
      </c>
      <c r="C44" s="12" t="s">
        <v>129</v>
      </c>
      <c r="D44" s="13" t="s">
        <v>130</v>
      </c>
      <c r="E44" s="24" t="s">
        <v>112</v>
      </c>
      <c r="F44" s="15" t="s">
        <v>14</v>
      </c>
    </row>
    <row r="45" spans="1:6" ht="30" customHeight="1" x14ac:dyDescent="0.25">
      <c r="A45" s="16">
        <v>40</v>
      </c>
      <c r="B45" s="23" t="s">
        <v>131</v>
      </c>
      <c r="C45" s="17" t="s">
        <v>132</v>
      </c>
      <c r="D45" s="18" t="s">
        <v>133</v>
      </c>
      <c r="E45" s="24" t="s">
        <v>112</v>
      </c>
      <c r="F45" s="15" t="s">
        <v>14</v>
      </c>
    </row>
    <row r="46" spans="1:6" ht="30" customHeight="1" x14ac:dyDescent="0.25">
      <c r="A46" s="10">
        <v>41</v>
      </c>
      <c r="B46" s="23" t="s">
        <v>134</v>
      </c>
      <c r="C46" s="12" t="s">
        <v>135</v>
      </c>
      <c r="D46" s="13" t="s">
        <v>136</v>
      </c>
      <c r="E46" s="24" t="s">
        <v>112</v>
      </c>
      <c r="F46" s="15" t="s">
        <v>14</v>
      </c>
    </row>
    <row r="47" spans="1:6" ht="30" customHeight="1" x14ac:dyDescent="0.25">
      <c r="A47" s="16">
        <v>42</v>
      </c>
      <c r="B47" s="23" t="s">
        <v>137</v>
      </c>
      <c r="C47" s="17" t="s">
        <v>138</v>
      </c>
      <c r="D47" s="18" t="s">
        <v>139</v>
      </c>
      <c r="E47" s="24" t="s">
        <v>112</v>
      </c>
      <c r="F47" s="15" t="s">
        <v>14</v>
      </c>
    </row>
    <row r="48" spans="1:6" ht="30" customHeight="1" x14ac:dyDescent="0.25">
      <c r="A48" s="10">
        <v>43</v>
      </c>
      <c r="B48" s="25" t="s">
        <v>140</v>
      </c>
      <c r="C48" s="12" t="s">
        <v>141</v>
      </c>
      <c r="D48" s="13" t="s">
        <v>142</v>
      </c>
      <c r="E48" s="26" t="s">
        <v>143</v>
      </c>
      <c r="F48" s="15" t="s">
        <v>14</v>
      </c>
    </row>
    <row r="49" spans="1:6" ht="30" customHeight="1" x14ac:dyDescent="0.25">
      <c r="A49" s="16">
        <v>44</v>
      </c>
      <c r="B49" s="25" t="s">
        <v>144</v>
      </c>
      <c r="C49" s="17" t="s">
        <v>145</v>
      </c>
      <c r="D49" s="18" t="s">
        <v>146</v>
      </c>
      <c r="E49" s="26" t="s">
        <v>143</v>
      </c>
      <c r="F49" s="15" t="s">
        <v>14</v>
      </c>
    </row>
    <row r="50" spans="1:6" ht="30" customHeight="1" x14ac:dyDescent="0.25">
      <c r="A50" s="10">
        <v>45</v>
      </c>
      <c r="B50" s="25" t="s">
        <v>147</v>
      </c>
      <c r="C50" s="12" t="s">
        <v>148</v>
      </c>
      <c r="D50" s="13" t="s">
        <v>149</v>
      </c>
      <c r="E50" s="26" t="s">
        <v>143</v>
      </c>
      <c r="F50" s="15" t="s">
        <v>14</v>
      </c>
    </row>
    <row r="51" spans="1:6" ht="30" customHeight="1" x14ac:dyDescent="0.25">
      <c r="A51" s="16">
        <v>46</v>
      </c>
      <c r="B51" s="25" t="s">
        <v>150</v>
      </c>
      <c r="C51" s="17" t="s">
        <v>151</v>
      </c>
      <c r="D51" s="18" t="s">
        <v>152</v>
      </c>
      <c r="E51" s="26" t="s">
        <v>143</v>
      </c>
      <c r="F51" s="15" t="s">
        <v>14</v>
      </c>
    </row>
    <row r="52" spans="1:6" ht="30" customHeight="1" x14ac:dyDescent="0.25">
      <c r="A52" s="10">
        <v>47</v>
      </c>
      <c r="B52" s="25" t="s">
        <v>153</v>
      </c>
      <c r="C52" s="12" t="s">
        <v>154</v>
      </c>
      <c r="D52" s="13" t="s">
        <v>155</v>
      </c>
      <c r="E52" s="26" t="s">
        <v>143</v>
      </c>
      <c r="F52" s="15" t="s">
        <v>14</v>
      </c>
    </row>
    <row r="53" spans="1:6" ht="30" customHeight="1" x14ac:dyDescent="0.25">
      <c r="A53" s="16">
        <v>48</v>
      </c>
      <c r="B53" s="25" t="s">
        <v>156</v>
      </c>
      <c r="C53" s="17" t="s">
        <v>157</v>
      </c>
      <c r="D53" s="18" t="s">
        <v>146</v>
      </c>
      <c r="E53" s="26" t="s">
        <v>143</v>
      </c>
      <c r="F53" s="15" t="s">
        <v>14</v>
      </c>
    </row>
    <row r="54" spans="1:6" ht="30" customHeight="1" x14ac:dyDescent="0.25">
      <c r="A54" s="10">
        <v>49</v>
      </c>
      <c r="B54" s="25" t="s">
        <v>158</v>
      </c>
      <c r="C54" s="12" t="s">
        <v>159</v>
      </c>
      <c r="D54" s="13" t="s">
        <v>160</v>
      </c>
      <c r="E54" s="26" t="s">
        <v>143</v>
      </c>
      <c r="F54" s="15" t="s">
        <v>14</v>
      </c>
    </row>
    <row r="55" spans="1:6" ht="30" customHeight="1" x14ac:dyDescent="0.25">
      <c r="A55" s="16">
        <v>50</v>
      </c>
      <c r="B55" s="25" t="s">
        <v>161</v>
      </c>
      <c r="C55" s="17" t="s">
        <v>162</v>
      </c>
      <c r="D55" s="18" t="s">
        <v>163</v>
      </c>
      <c r="E55" s="26" t="s">
        <v>143</v>
      </c>
      <c r="F55" s="15" t="s">
        <v>14</v>
      </c>
    </row>
    <row r="56" spans="1:6" ht="30" customHeight="1" x14ac:dyDescent="0.25">
      <c r="A56" s="10">
        <v>51</v>
      </c>
      <c r="B56" s="27" t="s">
        <v>164</v>
      </c>
      <c r="C56" s="12" t="s">
        <v>165</v>
      </c>
      <c r="D56" s="13" t="s">
        <v>166</v>
      </c>
      <c r="E56" s="28" t="s">
        <v>167</v>
      </c>
      <c r="F56" s="15" t="s">
        <v>14</v>
      </c>
    </row>
    <row r="57" spans="1:6" ht="30" customHeight="1" x14ac:dyDescent="0.25">
      <c r="A57" s="16">
        <v>52</v>
      </c>
      <c r="B57" s="27" t="s">
        <v>168</v>
      </c>
      <c r="C57" s="17" t="s">
        <v>169</v>
      </c>
      <c r="D57" s="18" t="s">
        <v>170</v>
      </c>
      <c r="E57" s="28" t="s">
        <v>167</v>
      </c>
      <c r="F57" s="15" t="s">
        <v>14</v>
      </c>
    </row>
    <row r="58" spans="1:6" ht="30" customHeight="1" x14ac:dyDescent="0.25">
      <c r="A58" s="10">
        <v>53</v>
      </c>
      <c r="B58" s="27" t="s">
        <v>171</v>
      </c>
      <c r="C58" s="12" t="s">
        <v>172</v>
      </c>
      <c r="D58" s="13" t="s">
        <v>173</v>
      </c>
      <c r="E58" s="28" t="s">
        <v>167</v>
      </c>
      <c r="F58" s="15" t="s">
        <v>14</v>
      </c>
    </row>
    <row r="59" spans="1:6" ht="21.95" customHeight="1" x14ac:dyDescent="0.25">
      <c r="A59" s="29" t="str">
        <f>"Total: "&amp;COUNTA(B6:B58)&amp;" tests executed   ·   Passed: "&amp;COUNTIF(F6:F59, "PASS")&amp;"   ·   Failed: "&amp;COUNTIF(F6:F59, "FAILED")</f>
        <v>Total: 53 tests executed   ·   Passed: 53   ·   Failed: 0</v>
      </c>
      <c r="B59" s="2"/>
      <c r="C59" s="2"/>
      <c r="D59" s="2"/>
      <c r="E59" s="30" t="s">
        <v>174</v>
      </c>
      <c r="F59" s="31" t="s">
        <v>175</v>
      </c>
    </row>
  </sheetData>
  <mergeCells count="3">
    <mergeCell ref="A2:F2"/>
    <mergeCell ref="A59:D59"/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Report</vt:lpstr>
      <vt:lpstr>'Test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Rahmat Hidayat</cp:lastModifiedBy>
  <dcterms:created xsi:type="dcterms:W3CDTF">2026-06-17T03:48:51Z</dcterms:created>
  <dcterms:modified xsi:type="dcterms:W3CDTF">2026-06-17T04:23:18Z</dcterms:modified>
</cp:coreProperties>
</file>